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r524_ic_ac_uk/Documents/VLSI_Labs/TestBench/kiCAD_Project V2/production/"/>
    </mc:Choice>
  </mc:AlternateContent>
  <xr:revisionPtr revIDLastSave="326" documentId="8_{B6B178C1-7B86-452A-95B7-9595EB2F4581}" xr6:coauthVersionLast="47" xr6:coauthVersionMax="47" xr10:uidLastSave="{953D97D8-21DA-42B1-8037-C9823CC8123D}"/>
  <bookViews>
    <workbookView xWindow="-120" yWindow="-120" windowWidth="38640" windowHeight="15840" xr2:uid="{B4DD6ED5-9AFA-47D4-BCB0-08E620D6BE75}"/>
  </bookViews>
  <sheets>
    <sheet name="TestBench_bom" sheetId="1" r:id="rId1"/>
  </sheets>
  <definedNames>
    <definedName name="_xlnm._FilterDatabase" localSheetId="0" hidden="1">TestBench_bom!$B$2:$N$30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24" i="1"/>
  <c r="M24" i="1"/>
  <c r="L13" i="1"/>
  <c r="M13" i="1" s="1"/>
  <c r="M23" i="1"/>
  <c r="M30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6" i="1"/>
  <c r="M26" i="1" s="1"/>
  <c r="L27" i="1"/>
  <c r="M27" i="1" s="1"/>
  <c r="L28" i="1"/>
  <c r="M28" i="1" s="1"/>
  <c r="L31" i="1"/>
  <c r="M31" i="1" s="1"/>
  <c r="L29" i="1"/>
  <c r="M29" i="1" s="1"/>
  <c r="L20" i="1"/>
  <c r="M20" i="1" s="1"/>
  <c r="L21" i="1"/>
  <c r="M21" i="1" s="1"/>
  <c r="L22" i="1"/>
  <c r="M22" i="1" s="1"/>
  <c r="L25" i="1"/>
  <c r="M25" i="1" s="1"/>
  <c r="L3" i="1"/>
  <c r="M3" i="1" s="1"/>
</calcChain>
</file>

<file path=xl/sharedStrings.xml><?xml version="1.0" encoding="utf-8"?>
<sst xmlns="http://schemas.openxmlformats.org/spreadsheetml/2006/main" count="222" uniqueCount="177">
  <si>
    <t>Reference</t>
  </si>
  <si>
    <t>Value</t>
  </si>
  <si>
    <t>Footprint</t>
  </si>
  <si>
    <t>Qty</t>
  </si>
  <si>
    <t>C1,C2,C4</t>
  </si>
  <si>
    <t>1u</t>
  </si>
  <si>
    <t>~</t>
  </si>
  <si>
    <t>Capacitor_SMD:C_0805_2012Metric_Pad1.18x1.45mm_HandSolder</t>
  </si>
  <si>
    <t>10u</t>
  </si>
  <si>
    <t>C5,C6,C7,C11,C12</t>
  </si>
  <si>
    <t>100n</t>
  </si>
  <si>
    <t>C8,C9</t>
  </si>
  <si>
    <t>6p</t>
  </si>
  <si>
    <t>D1,D2,D3</t>
  </si>
  <si>
    <t>LED</t>
  </si>
  <si>
    <t>LED_SMD:LED_0805_2012Metric_Pad1.15x1.40mm_HandSolder</t>
  </si>
  <si>
    <t>J2</t>
  </si>
  <si>
    <t>Conn_01x02_Socket</t>
  </si>
  <si>
    <t>Footprints:CTB30512BK</t>
  </si>
  <si>
    <t>J4</t>
  </si>
  <si>
    <t>54020-44030LF</t>
  </si>
  <si>
    <t>Footprints:5402044030LF</t>
  </si>
  <si>
    <t>J5</t>
  </si>
  <si>
    <t>USB_C_Receptacle_USB2.0_16P</t>
  </si>
  <si>
    <t>Connector_USB:USB_C_Receptacle_GCT_USB4105-xx-A_16P_TopMnt_Horizontal</t>
  </si>
  <si>
    <t>R1,R2,R3,R4,R5,R6,R7,R8,R13,R14,R22</t>
  </si>
  <si>
    <t>4k2</t>
  </si>
  <si>
    <t>Resistor_SMD:R_0805_2012Metric_Pad1.20x1.40mm_HandSolder</t>
  </si>
  <si>
    <t>330R</t>
  </si>
  <si>
    <t>R10</t>
  </si>
  <si>
    <t>1k</t>
  </si>
  <si>
    <t>R11,R12</t>
  </si>
  <si>
    <t>100R</t>
  </si>
  <si>
    <t>R17,R18</t>
  </si>
  <si>
    <t>5.1k</t>
  </si>
  <si>
    <t>R19</t>
  </si>
  <si>
    <t>22.1k</t>
  </si>
  <si>
    <t>R20</t>
  </si>
  <si>
    <t>47.5k</t>
  </si>
  <si>
    <t>R21</t>
  </si>
  <si>
    <t>0R</t>
  </si>
  <si>
    <t>S1</t>
  </si>
  <si>
    <t>ADE04S04</t>
  </si>
  <si>
    <t>Footprints:ADE04S04</t>
  </si>
  <si>
    <t>S2</t>
  </si>
  <si>
    <t>SLW-118562-4A-N-D</t>
  </si>
  <si>
    <t>Footprints:SLW1185624AND</t>
  </si>
  <si>
    <t>SW1</t>
  </si>
  <si>
    <t>TS04-66-73-BK-100-SMT</t>
  </si>
  <si>
    <t>Footprints:TS046665BK160SMT</t>
  </si>
  <si>
    <t>U1,U2</t>
  </si>
  <si>
    <t>Connector_PinHeader_2.54mm:PinHeader_2x20_P2.54mm_Vertical</t>
  </si>
  <si>
    <t>U3</t>
  </si>
  <si>
    <t>MIC5504-1.2YM5</t>
  </si>
  <si>
    <t>Package_TO_SOT_SMD:SOT-23-5</t>
  </si>
  <si>
    <t>U4</t>
  </si>
  <si>
    <t>MIC5504-3.3YM5</t>
  </si>
  <si>
    <t>U5</t>
  </si>
  <si>
    <t>DAC7578xRGE</t>
  </si>
  <si>
    <t>Package_DFN_QFN:QFN-24-1EP_4x4mm_P0.5mm_EP2.6x2.6mm</t>
  </si>
  <si>
    <t>U6</t>
  </si>
  <si>
    <t>CP2102N-Axx-xQFN24</t>
  </si>
  <si>
    <t>U7</t>
  </si>
  <si>
    <t>USBLC6-2SC6</t>
  </si>
  <si>
    <t>Package_TO_SOT_SMD:SOT-23-6</t>
  </si>
  <si>
    <t>Y1</t>
  </si>
  <si>
    <t>Crystal_GND24</t>
  </si>
  <si>
    <t>Crystal:Crystal_SMD_3225-4Pin_3.2x2.5mm</t>
  </si>
  <si>
    <t>Supplier</t>
  </si>
  <si>
    <t>Other Supplier</t>
  </si>
  <si>
    <t>Description</t>
  </si>
  <si>
    <t>SupplierPartNo</t>
  </si>
  <si>
    <t>UnitPrice</t>
  </si>
  <si>
    <t>Quantity</t>
  </si>
  <si>
    <t>LineSum</t>
  </si>
  <si>
    <t>OneCall (Farnell and CPC)</t>
  </si>
  <si>
    <t>£0.0679 - SMD Multilayer Ceramic Capacitor, 1 µF, 50 V, 0805 [2012 Metric], ± 10%, X7R</t>
  </si>
  <si>
    <t>3013482</t>
  </si>
  <si>
    <t>£0.1488 - SMD Multilayer Ceramic Capacitor, 10 µF, 16 V, 0805 [2012 Metric], ± 10%, X7R</t>
  </si>
  <si>
    <t>3013485</t>
  </si>
  <si>
    <t>£0.0329 - SMD Multilayer Ceramic Capacitor, 0.1 µF, 50 V, 0805 [2012 Metric], ± 10%, X7R</t>
  </si>
  <si>
    <t>4539029</t>
  </si>
  <si>
    <t>C3,C10,C13</t>
  </si>
  <si>
    <t>£0.1548  - LED, Hyper-Bright, Red, SMD, 0805 [2012 Metric], 25 mA, 2 V, 633 nm</t>
  </si>
  <si>
    <t>1226392</t>
  </si>
  <si>
    <t>£0.744 - USB Connector, 5A, 48V, 240W, USB Type C, USB 2.0, Receptacle, 16 Ways</t>
  </si>
  <si>
    <t>3588205</t>
  </si>
  <si>
    <t>£2.55 - IC &amp; Component Socket, 44 Contacts, PLCC Socket, 2.54 mm, FCI 54020 Series, 2.54 mm, Copper Alloy</t>
  </si>
  <si>
    <t>3881743</t>
  </si>
  <si>
    <t>£0.5508 - Wire-To-Board Terminal Block, 3.5 mm, 2 Ways, 1 mm², Screw</t>
  </si>
  <si>
    <t>3882615</t>
  </si>
  <si>
    <t>1269406</t>
  </si>
  <si>
    <t>3013847</t>
  </si>
  <si>
    <t>£0.0139 - Zero Ohm Resistor, Jumper, 0805 [2012 Metric], Thick Film, 125 mW, 2 A, Surface Mount Device</t>
  </si>
  <si>
    <t>4312018</t>
  </si>
  <si>
    <t>Other Supplier: Digikey</t>
  </si>
  <si>
    <t>Digikey</t>
  </si>
  <si>
    <t>£0.12 - IC REG LINEAR 1.2V 300MA SOT23-5</t>
  </si>
  <si>
    <t>576-4878-1-ND</t>
  </si>
  <si>
    <t>£0.13 - SWITCH TACTILE SPST-NO 0.05A 12V</t>
  </si>
  <si>
    <t>2223-TS04-66-65-BK-160-SMT-ND</t>
  </si>
  <si>
    <t>£1.18 - SWITCH SLIDE DIP SPST 0.1A 24V</t>
  </si>
  <si>
    <t>450-2040-ND</t>
  </si>
  <si>
    <t>2510377</t>
  </si>
  <si>
    <t>296-DAC7578SRGERCT-ND</t>
  </si>
  <si>
    <t>£0.012 - SMD Chip Resistor, 4.3 kohm, ± 5%, 125 mW, 0805 [2012 Metric], Thick Film, General Purpose</t>
  </si>
  <si>
    <t>3952297</t>
  </si>
  <si>
    <t>£0.0139 - SMD Chip Resistor, 100 ohm, ± 1%, 100 mW, 0805 [2012 Metric], Thick Film, General Purpose</t>
  </si>
  <si>
    <t>9332375</t>
  </si>
  <si>
    <t>2223-SLW-118562-4A-N-D-ND</t>
  </si>
  <si>
    <t>https://www.digikey.at/en/products/detail/same-sky-formerly-cui-devices/SLW-118562-4A-N-D/24399210?srsltid=AfmBOoorURxOsXU0feFUBsydrq2Q7bd4_EYa3AfjRZLPQvsun2RvdM5w</t>
  </si>
  <si>
    <t>https://uk.farnell.com/amphenol-fci/54020-44030lf/conn-plcc-socket44pos-2-54mm/dp/3881743</t>
  </si>
  <si>
    <t>2447587</t>
  </si>
  <si>
    <t>£0.0156 - SMD Chip Resistor, 1 kohm, ± 1%, 125 mW, 0805 [2012 Metric], Thick Film, General Purpose</t>
  </si>
  <si>
    <t>2447638</t>
  </si>
  <si>
    <t>https://uk.farnell.com/multicomp-pro/mcwr08x3300ftl/res-330r-1-0-125w-0805-thick-film/dp/2447638</t>
  </si>
  <si>
    <t>£0.0156 - SMD Chip Resistor, 330 ohm, ± 1%, 125 mW, 0805 [2012 Metric], Thick Film, General Purpose</t>
  </si>
  <si>
    <t>https://uk.farnell.com/multicomp-pro/mcwr08x5101ftl/res-5k1-1-0-125w-0805-thick-film/dp/2447692</t>
  </si>
  <si>
    <t>2447692</t>
  </si>
  <si>
    <t>£0.0156 - SMD Chip Resistor, 5.1 kohm, ± 1%, 125 mW, 0805 [2012 Metric], Thick Film, General Purpose</t>
  </si>
  <si>
    <t>£0.0156 - SMD Chip Resistor, 22 kohm, ± 1%, 125 mW, 0805 [2012 Metric], Thick Film, General Purpose</t>
  </si>
  <si>
    <t>2447607</t>
  </si>
  <si>
    <t>https://uk.farnell.com/multicomp-pro/mcwr08x2202ftl/res-22k-1-0-125w-0805-thick-film/dp/2447607</t>
  </si>
  <si>
    <t>https://uk.farnell.com/multicomp-pro/mcwr08x4752ftl/res-47k5-1-0-125w-thick-film/dp/2447665</t>
  </si>
  <si>
    <t>2447665</t>
  </si>
  <si>
    <t>£0.0156 - SMD Chip Resistor, 47.5 kohm, ± 1%, 125 mW, 0805 [2012 Metric], Thick Film, General Purpose</t>
  </si>
  <si>
    <t>R9,R15,R16</t>
  </si>
  <si>
    <t>£0.054 - SMD Multilayer Ceramic Capacitor, 6 pF, 50 V, 0805 [2012 Metric], ± 0.5pF, C0G / NP0</t>
  </si>
  <si>
    <t>1759185</t>
  </si>
  <si>
    <t>https://uk.farnell.com/multicomp-pro/mc0805n6r0d500ct/cap-6pf-50v-c0g-np0-0805/dp/1759185</t>
  </si>
  <si>
    <t>https://uk.farnell.com/samsung-electro-mechanics/cl21b106koqnnne/cap-10uf-16v-mlcc-0805/dp/3013485</t>
  </si>
  <si>
    <t>https://uk.farnell.com/samsung-electro-mechanics/cl21b105kbfnnne/cap-1uf-50v-mlcc-0805/dp/3013482</t>
  </si>
  <si>
    <t>https://uk.farnell.com/samsung-electro-mechanics/cl21b104kbcnnnd/capacitor-mlc-0-1uf-x7r-50v-0805/dp/4539029</t>
  </si>
  <si>
    <t>https://uk.farnell.com/osram-opto-semiconductors/lsr976/led-0805-red-50mcd-632nm/dp/1226392</t>
  </si>
  <si>
    <t>https://uk.farnell.com/camdenboss/ctb3051-2bk/terminal-block-wire-to-brd-2pos/dp/3882615</t>
  </si>
  <si>
    <t>https://uk.farnell.com/gct-global-connector-technology/usb4105-gf-a/usb-conn-2-0-type-c-rcpt-16pos/dp/3588205</t>
  </si>
  <si>
    <t>https://uk.farnell.com/yageo/rc0805jr-074k3l/res-4k3-5-0-125w-thick-film-0805/dp/3952297</t>
  </si>
  <si>
    <t>https://uk.farnell.com/multicomp-pro/mcwr08x1001ftl/res-1k-1-0-125w-0805-thick-film/dp/2447587</t>
  </si>
  <si>
    <t>https://uk.farnell.com/multicomp-pro/mc01w08051100r/res-100r-1-0-1w-0805-thick-film/dp/9332375</t>
  </si>
  <si>
    <t>https://uk.farnell.com/yageo/rc0805fr-130rl/res-2a-0-125w-thick-film-0805/dp/4312018</t>
  </si>
  <si>
    <t>https://uk.farnell.com/microchip/mic5504-3-3ym5-tr/ldo-fixed-3-3v-0-3a-40-to-125/dp/2510377</t>
  </si>
  <si>
    <t>£3.22 - Interface Bridges, USB to UART, 3 V, 3.6 V, QFN, 24 Pins, -40 °C</t>
  </si>
  <si>
    <t>https://uk.farnell.com/silicon-labs/cp2102n-a02-gqfn24/usb-to-uart-bridge-40-to-85deg/dp/3013847</t>
  </si>
  <si>
    <t>https://uk.farnell.com/stmicroelectronics/usblc6-2sc6/esd-protection-17v-sot-23/dp/1269406</t>
  </si>
  <si>
    <t>£0.368 - ESD Protection Device, 17 V, SOT-23, 6 Pins</t>
  </si>
  <si>
    <t>£0.6048 - Crystal, 25 MHz, SMD, 3.2mm x 2.5mm, 20 ppm, 8 pF, 10 ppm, ABM8W Series</t>
  </si>
  <si>
    <t>https://uk.farnell.com/abracon/abm8w-25-0000mhz-8-d1x-t3/crystal-25mhz-8pf-3-2mm-x-2-5mm/dp/3819756</t>
  </si>
  <si>
    <t>https://www.digikey.co.uk/en/products/detail/texas-instruments/DAC7578SRGER/2596812?s=N4IgTCBcDa4JwDYC0ARAggYQOwFYsA4BlAJQHEBRYjAFSQDkUQBdAXyA</t>
  </si>
  <si>
    <t>£9.75 - IC DAC 12BIT V-OUT 24VQFN</t>
  </si>
  <si>
    <t>https://www.digikey.co.uk/en/products/detail/microchip-technology/MIC5504-1-2YM5-TR/5209401?s=N4IgTCBcDaIKwHYBsBaALADgRlBGFAcgCIgC6AvkA</t>
  </si>
  <si>
    <t>https://www.digikey.co.uk/en/products/detail/same-sky-formerly-cui-devices/TS04-66-65-BK-160-SMT/15634253?s=N4IgTCBcDa5mBmAtAFQMoAYAsSBsu8BWJAIQGkkBGXDJNAWRSQDkAREAXQF8g</t>
  </si>
  <si>
    <t>https://www.digikey.co.uk/en/products/detail/te-connectivity-alcoswitch-switches/1825058-7/1021543?s=N4IgTCBcDaICwFYAMBaMS6oHIBEQF0BfIA</t>
  </si>
  <si>
    <t>MinQty</t>
  </si>
  <si>
    <t>£0.42 - 11.1 X 8.5 X 6.2 MM, 4 MM RAISED</t>
  </si>
  <si>
    <t>Link</t>
  </si>
  <si>
    <t>Note:</t>
  </si>
  <si>
    <t>Prices as of January 2026</t>
  </si>
  <si>
    <t>U8</t>
  </si>
  <si>
    <t>74LVC1G04</t>
  </si>
  <si>
    <t>Package_TO_SOT_SMD:SOT-353_SC-70-5</t>
  </si>
  <si>
    <t>1845218</t>
  </si>
  <si>
    <t>£0.016 - Logic IC, Inverter, Single, 1 Inputs, 5 Pins, SOT-353, 74LVC1G04</t>
  </si>
  <si>
    <t>https://uk.farnell.com/diodes-inc/74lvc1g04se-7/logic-inverter-gate-single-sot353/dp/1845218</t>
  </si>
  <si>
    <t>33R</t>
  </si>
  <si>
    <t>£0.0156 - SMD Chip Resistor, 33 ohm, ± 1%, 125 mW, 0805 [2012 Metric], Thick Film, General Purpose</t>
  </si>
  <si>
    <t>2447640</t>
  </si>
  <si>
    <t>https://uk.farnell.com/multicomp-pro/mcwr08x33r0ftl/res-33r-1-0-125w-thick-film/dp/2447640</t>
  </si>
  <si>
    <t>U9</t>
  </si>
  <si>
    <t>74LVC1G17</t>
  </si>
  <si>
    <t>1893834</t>
  </si>
  <si>
    <t>£0.1034 - Schmitt Trigger Buffer, LVC Family, 1 Input, 32 mA, Totem Pole, 1.65V to 5.5V, SOT-353-5</t>
  </si>
  <si>
    <t>https://uk.farnell.com/diodes-inc/74lvc1g17se-7/logic-schmitt-trig-buffer-sot353/dp/1893834</t>
  </si>
  <si>
    <t>SAM1212-20-ND</t>
  </si>
  <si>
    <t>£0.144 - Fixed LDO Voltage Regulator, 2.5V to 5.5V, 160mV Dropout, 3.3Vout, 300mAout, SOT-23-5</t>
  </si>
  <si>
    <t>https://www.digikey.co.uk/en/products/detail/samtec-inc/SSW-120-01-T-D/1112236?s=N4IgTCBcDaIMoEECyBGMaC0YAMGByAIiALoC%2BQA</t>
  </si>
  <si>
    <t>£2.77 - CONN RCPT 40POS 0.1 TIN PCB</t>
  </si>
  <si>
    <t>R23, 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</si>
</sst>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8" fillId="0" borderId="0" xfId="42"/>
    <xf numFmtId="0" fontId="0" fillId="0" borderId="0" xfId="0" quotePrefix="1"/>
    <xf numFmtId="2" fontId="0" fillId="0" borderId="0" xfId="0" applyNumberFormat="1"/>
    <xf numFmtId="2" fontId="0" fillId="0" borderId="0" xfId="0" applyNumberFormat="1" applyAlignment="1">
      <alignment wrapText="1"/>
    </xf>
    <xf numFmtId="0" fontId="16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.farnell.com/samsung-electro-mechanics/cl21b104kbcnnnd/capacitor-mlc-0-1uf-x7r-50v-0805/dp/4539029" TargetMode="External"/><Relationship Id="rId13" Type="http://schemas.openxmlformats.org/officeDocument/2006/relationships/hyperlink" Target="https://uk.farnell.com/yageo/rc0805jr-074k3l/res-4k3-5-0-125w-thick-film-0805/dp/3952297" TargetMode="External"/><Relationship Id="rId18" Type="http://schemas.openxmlformats.org/officeDocument/2006/relationships/hyperlink" Target="https://uk.farnell.com/multicomp-pro/mc01w08051100r/res-100r-1-0-1w-0805-thick-film/dp/9332375" TargetMode="External"/><Relationship Id="rId26" Type="http://schemas.openxmlformats.org/officeDocument/2006/relationships/hyperlink" Target="https://uk.farnell.com/silicon-labs/cp2102n-a02-gqfn24/usb-to-uart-bridge-40-to-85deg/dp/3013847" TargetMode="External"/><Relationship Id="rId3" Type="http://schemas.openxmlformats.org/officeDocument/2006/relationships/hyperlink" Target="https://www.digikey.co.uk/en/products/detail/microchip-technology/MIC5504-1-2YM5-TR/5209401?s=N4IgTCBcDaIKwHYBsBaALADgRlBGFAcgCIgC6AvkA" TargetMode="External"/><Relationship Id="rId21" Type="http://schemas.openxmlformats.org/officeDocument/2006/relationships/hyperlink" Target="https://uk.farnell.com/yageo/rc0805fr-130rl/res-2a-0-125w-thick-film-0805/dp/4312018" TargetMode="External"/><Relationship Id="rId7" Type="http://schemas.openxmlformats.org/officeDocument/2006/relationships/hyperlink" Target="https://uk.farnell.com/samsung-electro-mechanics/cl21b106koqnnne/cap-10uf-16v-mlcc-0805/dp/3013485" TargetMode="External"/><Relationship Id="rId12" Type="http://schemas.openxmlformats.org/officeDocument/2006/relationships/hyperlink" Target="https://uk.farnell.com/gct-global-connector-technology/usb4105-gf-a/usb-conn-2-0-type-c-rcpt-16pos/dp/3588205" TargetMode="External"/><Relationship Id="rId17" Type="http://schemas.openxmlformats.org/officeDocument/2006/relationships/hyperlink" Target="https://uk.farnell.com/multicomp-pro/mcwr08x1001ftl/res-1k-1-0-125w-0805-thick-film/dp/2447587" TargetMode="External"/><Relationship Id="rId25" Type="http://schemas.openxmlformats.org/officeDocument/2006/relationships/hyperlink" Target="https://uk.farnell.com/microchip/mic5504-3-3ym5-tr/ldo-fixed-3-3v-0-3a-40-to-125/dp/2510377" TargetMode="External"/><Relationship Id="rId2" Type="http://schemas.openxmlformats.org/officeDocument/2006/relationships/hyperlink" Target="https://uk.farnell.com/amphenol-fci/54020-44030lf/conn-plcc-socket44pos-2-54mm/dp/3881743" TargetMode="External"/><Relationship Id="rId16" Type="http://schemas.openxmlformats.org/officeDocument/2006/relationships/hyperlink" Target="https://uk.farnell.com/multicomp-pro/mcwr08x5101ftl/res-5k1-1-0-125w-0805-thick-film/dp/2447692" TargetMode="External"/><Relationship Id="rId20" Type="http://schemas.openxmlformats.org/officeDocument/2006/relationships/hyperlink" Target="https://uk.farnell.com/multicomp-pro/mcwr08x4752ftl/res-47k5-1-0-125w-thick-film/dp/2447665" TargetMode="External"/><Relationship Id="rId29" Type="http://schemas.openxmlformats.org/officeDocument/2006/relationships/hyperlink" Target="https://uk.farnell.com/abracon/abm8w-25-0000mhz-8-d1x-t3/crystal-25mhz-8pf-3-2mm-x-2-5mm/dp/3819756" TargetMode="External"/><Relationship Id="rId1" Type="http://schemas.openxmlformats.org/officeDocument/2006/relationships/hyperlink" Target="https://www.digikey.at/en/products/detail/same-sky-formerly-cui-devices/SLW-118562-4A-N-D/24399210?srsltid=AfmBOoorURxOsXU0feFUBsydrq2Q7bd4_EYa3AfjRZLPQvsun2RvdM5w" TargetMode="External"/><Relationship Id="rId6" Type="http://schemas.openxmlformats.org/officeDocument/2006/relationships/hyperlink" Target="https://uk.farnell.com/samsung-electro-mechanics/cl21b105kbfnnne/cap-1uf-50v-mlcc-0805/dp/3013482" TargetMode="External"/><Relationship Id="rId11" Type="http://schemas.openxmlformats.org/officeDocument/2006/relationships/hyperlink" Target="https://uk.farnell.com/camdenboss/ctb3051-2bk/terminal-block-wire-to-brd-2pos/dp/3882615" TargetMode="External"/><Relationship Id="rId24" Type="http://schemas.openxmlformats.org/officeDocument/2006/relationships/hyperlink" Target="https://www.digikey.co.uk/en/products/detail/samtec-inc/SSW-120-01-T-D/1112236?s=N4IgTCBcDaIMoEECyBGMaC0YAMGByAIiALoC%2BQA" TargetMode="External"/><Relationship Id="rId5" Type="http://schemas.openxmlformats.org/officeDocument/2006/relationships/hyperlink" Target="https://uk.farnell.com/diodes-inc/74lvc1g04se-7/logic-inverter-gate-single-sot353/dp/1845218" TargetMode="External"/><Relationship Id="rId15" Type="http://schemas.openxmlformats.org/officeDocument/2006/relationships/hyperlink" Target="https://uk.farnell.com/multicomp-pro/mcwr08x33r0ftl/res-33r-1-0-125w-thick-film/dp/2447640" TargetMode="External"/><Relationship Id="rId23" Type="http://schemas.openxmlformats.org/officeDocument/2006/relationships/hyperlink" Target="https://www.digikey.co.uk/en/products/detail/same-sky-formerly-cui-devices/TS04-66-65-BK-160-SMT/15634253?s=N4IgTCBcDa5mBmAtAFQMoAYAsSBsu8BWJAIQGkkBGXDJNAWRSQDkAREAXQF8g" TargetMode="External"/><Relationship Id="rId28" Type="http://schemas.openxmlformats.org/officeDocument/2006/relationships/hyperlink" Target="https://uk.farnell.com/diodes-inc/74lvc1g17se-7/logic-schmitt-trig-buffer-sot353/dp/1893834" TargetMode="External"/><Relationship Id="rId10" Type="http://schemas.openxmlformats.org/officeDocument/2006/relationships/hyperlink" Target="https://uk.farnell.com/osram-opto-semiconductors/lsr976/led-0805-red-50mcd-632nm/dp/1226392" TargetMode="External"/><Relationship Id="rId19" Type="http://schemas.openxmlformats.org/officeDocument/2006/relationships/hyperlink" Target="https://uk.farnell.com/multicomp-pro/mcwr08x2202ftl/res-22k-1-0-125w-0805-thick-film/dp/2447607" TargetMode="External"/><Relationship Id="rId4" Type="http://schemas.openxmlformats.org/officeDocument/2006/relationships/hyperlink" Target="https://www.digikey.co.uk/en/products/detail/texas-instruments/DAC7578SRGER/2596812?s=N4IgTCBcDa4JwDYC0ARAggYQOwFYsA4BlAJQHEBRYjAFSQDkUQBdAXyA" TargetMode="External"/><Relationship Id="rId9" Type="http://schemas.openxmlformats.org/officeDocument/2006/relationships/hyperlink" Target="https://uk.farnell.com/multicomp-pro/mc0805n6r0d500ct/cap-6pf-50v-c0g-np0-0805/dp/1759185" TargetMode="External"/><Relationship Id="rId14" Type="http://schemas.openxmlformats.org/officeDocument/2006/relationships/hyperlink" Target="https://uk.farnell.com/multicomp-pro/mcwr08x3300ftl/res-330r-1-0-125w-0805-thick-film/dp/2447638" TargetMode="External"/><Relationship Id="rId22" Type="http://schemas.openxmlformats.org/officeDocument/2006/relationships/hyperlink" Target="https://www.digikey.co.uk/en/products/detail/te-connectivity-alcoswitch-switches/1825058-7/1021543?s=N4IgTCBcDaICwFYAMBaMS6oHIBEQF0BfIA" TargetMode="External"/><Relationship Id="rId27" Type="http://schemas.openxmlformats.org/officeDocument/2006/relationships/hyperlink" Target="https://uk.farnell.com/stmicroelectronics/usblc6-2sc6/esd-protection-17v-sot-23/dp/1269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2D5AF-21A8-4E24-AFE4-45C82B37EC1E}">
  <dimension ref="B1:N35"/>
  <sheetViews>
    <sheetView showGridLines="0" tabSelected="1" workbookViewId="0">
      <selection activeCell="A3" sqref="A3:A30"/>
    </sheetView>
  </sheetViews>
  <sheetFormatPr defaultColWidth="8.85546875" defaultRowHeight="15" x14ac:dyDescent="0.25"/>
  <cols>
    <col min="1" max="1" width="4.140625" customWidth="1"/>
    <col min="2" max="2" width="36.85546875" customWidth="1"/>
    <col min="3" max="3" width="17" customWidth="1"/>
    <col min="4" max="4" width="28.7109375" customWidth="1"/>
    <col min="6" max="7" width="9.140625" customWidth="1"/>
    <col min="8" max="8" width="14.28515625" customWidth="1"/>
    <col min="9" max="9" width="35.42578125" customWidth="1"/>
    <col min="13" max="13" width="9.42578125" bestFit="1" customWidth="1"/>
    <col min="14" max="14" width="118" customWidth="1"/>
  </cols>
  <sheetData>
    <row r="1" spans="2:14" x14ac:dyDescent="0.25">
      <c r="L1">
        <v>10</v>
      </c>
    </row>
    <row r="2" spans="2:14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68</v>
      </c>
      <c r="G2" s="7" t="s">
        <v>69</v>
      </c>
      <c r="H2" s="7" t="s">
        <v>71</v>
      </c>
      <c r="I2" s="7" t="s">
        <v>70</v>
      </c>
      <c r="J2" s="7" t="s">
        <v>72</v>
      </c>
      <c r="K2" s="7" t="s">
        <v>152</v>
      </c>
      <c r="L2" s="7" t="s">
        <v>73</v>
      </c>
      <c r="M2" s="7" t="s">
        <v>74</v>
      </c>
      <c r="N2" s="7" t="s">
        <v>154</v>
      </c>
    </row>
    <row r="3" spans="2:14" x14ac:dyDescent="0.25">
      <c r="B3" t="s">
        <v>4</v>
      </c>
      <c r="C3" t="s">
        <v>5</v>
      </c>
      <c r="D3" t="s">
        <v>7</v>
      </c>
      <c r="E3">
        <v>3</v>
      </c>
      <c r="F3" t="s">
        <v>75</v>
      </c>
      <c r="H3" t="s">
        <v>77</v>
      </c>
      <c r="I3" t="s">
        <v>76</v>
      </c>
      <c r="J3">
        <v>4.6977999999999999E-2</v>
      </c>
      <c r="K3">
        <v>10</v>
      </c>
      <c r="L3">
        <f t="shared" ref="L3:L22" si="0">E3*$L$1</f>
        <v>30</v>
      </c>
      <c r="M3" s="5">
        <f t="shared" ref="M3:M31" si="1">L3*J3</f>
        <v>1.40934</v>
      </c>
      <c r="N3" s="3" t="s">
        <v>131</v>
      </c>
    </row>
    <row r="4" spans="2:14" x14ac:dyDescent="0.25">
      <c r="B4" t="s">
        <v>82</v>
      </c>
      <c r="C4" t="s">
        <v>8</v>
      </c>
      <c r="D4" t="s">
        <v>7</v>
      </c>
      <c r="E4">
        <v>3</v>
      </c>
      <c r="F4" t="s">
        <v>75</v>
      </c>
      <c r="H4" t="s">
        <v>79</v>
      </c>
      <c r="I4" t="s">
        <v>78</v>
      </c>
      <c r="J4">
        <v>0.10292</v>
      </c>
      <c r="K4">
        <v>10</v>
      </c>
      <c r="L4">
        <f t="shared" si="0"/>
        <v>30</v>
      </c>
      <c r="M4" s="5">
        <f t="shared" si="1"/>
        <v>3.0876000000000001</v>
      </c>
      <c r="N4" s="3" t="s">
        <v>130</v>
      </c>
    </row>
    <row r="5" spans="2:14" x14ac:dyDescent="0.25">
      <c r="B5" t="s">
        <v>9</v>
      </c>
      <c r="C5" t="s">
        <v>10</v>
      </c>
      <c r="D5" t="s">
        <v>7</v>
      </c>
      <c r="E5">
        <v>5</v>
      </c>
      <c r="F5" t="s">
        <v>75</v>
      </c>
      <c r="H5" t="s">
        <v>81</v>
      </c>
      <c r="I5" t="s">
        <v>80</v>
      </c>
      <c r="J5">
        <v>1.3114000000000001E-2</v>
      </c>
      <c r="K5">
        <v>10</v>
      </c>
      <c r="L5">
        <f t="shared" si="0"/>
        <v>50</v>
      </c>
      <c r="M5" s="5">
        <f t="shared" si="1"/>
        <v>0.65570000000000006</v>
      </c>
      <c r="N5" s="3" t="s">
        <v>132</v>
      </c>
    </row>
    <row r="6" spans="2:14" x14ac:dyDescent="0.25">
      <c r="B6" t="s">
        <v>11</v>
      </c>
      <c r="C6" t="s">
        <v>12</v>
      </c>
      <c r="D6" t="s">
        <v>7</v>
      </c>
      <c r="E6">
        <v>2</v>
      </c>
      <c r="F6" t="s">
        <v>75</v>
      </c>
      <c r="H6" s="4" t="s">
        <v>128</v>
      </c>
      <c r="I6" t="s">
        <v>127</v>
      </c>
      <c r="J6">
        <v>5.3999999999999999E-2</v>
      </c>
      <c r="K6">
        <v>10</v>
      </c>
      <c r="L6">
        <f t="shared" si="0"/>
        <v>20</v>
      </c>
      <c r="M6" s="5">
        <f t="shared" si="1"/>
        <v>1.08</v>
      </c>
      <c r="N6" s="3" t="s">
        <v>129</v>
      </c>
    </row>
    <row r="7" spans="2:14" x14ac:dyDescent="0.25">
      <c r="B7" t="s">
        <v>13</v>
      </c>
      <c r="C7" t="s">
        <v>14</v>
      </c>
      <c r="D7" t="s">
        <v>15</v>
      </c>
      <c r="E7">
        <v>3</v>
      </c>
      <c r="F7" t="s">
        <v>75</v>
      </c>
      <c r="H7" t="s">
        <v>84</v>
      </c>
      <c r="I7" t="s">
        <v>83</v>
      </c>
      <c r="J7">
        <v>0.108</v>
      </c>
      <c r="K7">
        <v>10</v>
      </c>
      <c r="L7">
        <f t="shared" si="0"/>
        <v>30</v>
      </c>
      <c r="M7" s="5">
        <f t="shared" si="1"/>
        <v>3.2399999999999998</v>
      </c>
      <c r="N7" s="3" t="s">
        <v>133</v>
      </c>
    </row>
    <row r="8" spans="2:14" x14ac:dyDescent="0.25">
      <c r="B8" t="s">
        <v>16</v>
      </c>
      <c r="C8" t="s">
        <v>17</v>
      </c>
      <c r="D8" t="s">
        <v>18</v>
      </c>
      <c r="E8">
        <v>1</v>
      </c>
      <c r="F8" t="s">
        <v>75</v>
      </c>
      <c r="H8" t="s">
        <v>90</v>
      </c>
      <c r="I8" t="s">
        <v>89</v>
      </c>
      <c r="J8">
        <v>0.55079999999999996</v>
      </c>
      <c r="K8">
        <v>1</v>
      </c>
      <c r="L8">
        <f t="shared" si="0"/>
        <v>10</v>
      </c>
      <c r="M8" s="5">
        <f t="shared" si="1"/>
        <v>5.5079999999999991</v>
      </c>
      <c r="N8" s="3" t="s">
        <v>134</v>
      </c>
    </row>
    <row r="9" spans="2:14" x14ac:dyDescent="0.25">
      <c r="B9" t="s">
        <v>19</v>
      </c>
      <c r="C9" t="s">
        <v>20</v>
      </c>
      <c r="D9" t="s">
        <v>21</v>
      </c>
      <c r="E9">
        <v>1</v>
      </c>
      <c r="F9" t="s">
        <v>75</v>
      </c>
      <c r="H9" s="4" t="s">
        <v>88</v>
      </c>
      <c r="I9" t="s">
        <v>87</v>
      </c>
      <c r="J9">
        <v>2.5499999999999998</v>
      </c>
      <c r="K9">
        <v>1</v>
      </c>
      <c r="L9">
        <f t="shared" si="0"/>
        <v>10</v>
      </c>
      <c r="M9" s="5">
        <f t="shared" si="1"/>
        <v>25.5</v>
      </c>
      <c r="N9" s="3" t="s">
        <v>111</v>
      </c>
    </row>
    <row r="10" spans="2:14" x14ac:dyDescent="0.25">
      <c r="B10" t="s">
        <v>22</v>
      </c>
      <c r="C10" t="s">
        <v>23</v>
      </c>
      <c r="D10" t="s">
        <v>24</v>
      </c>
      <c r="E10">
        <v>1</v>
      </c>
      <c r="F10" t="s">
        <v>75</v>
      </c>
      <c r="H10" t="s">
        <v>86</v>
      </c>
      <c r="I10" t="s">
        <v>85</v>
      </c>
      <c r="J10">
        <v>0.74399999999999999</v>
      </c>
      <c r="K10">
        <v>1</v>
      </c>
      <c r="L10">
        <f t="shared" si="0"/>
        <v>10</v>
      </c>
      <c r="M10" s="5">
        <f t="shared" si="1"/>
        <v>7.4399999999999995</v>
      </c>
      <c r="N10" s="3" t="s">
        <v>135</v>
      </c>
    </row>
    <row r="11" spans="2:14" x14ac:dyDescent="0.25">
      <c r="B11" t="s">
        <v>25</v>
      </c>
      <c r="C11" t="s">
        <v>26</v>
      </c>
      <c r="D11" t="s">
        <v>27</v>
      </c>
      <c r="E11">
        <v>11</v>
      </c>
      <c r="F11" t="s">
        <v>75</v>
      </c>
      <c r="H11" t="s">
        <v>106</v>
      </c>
      <c r="I11" t="s">
        <v>105</v>
      </c>
      <c r="J11">
        <v>8.0000000000000002E-3</v>
      </c>
      <c r="K11">
        <v>10</v>
      </c>
      <c r="L11">
        <f t="shared" si="0"/>
        <v>110</v>
      </c>
      <c r="M11" s="5">
        <f t="shared" si="1"/>
        <v>0.88</v>
      </c>
      <c r="N11" s="3" t="s">
        <v>136</v>
      </c>
    </row>
    <row r="12" spans="2:14" x14ac:dyDescent="0.25">
      <c r="B12" t="s">
        <v>126</v>
      </c>
      <c r="C12" t="s">
        <v>28</v>
      </c>
      <c r="D12" t="s">
        <v>27</v>
      </c>
      <c r="E12">
        <v>1</v>
      </c>
      <c r="F12" t="s">
        <v>75</v>
      </c>
      <c r="H12" s="4" t="s">
        <v>114</v>
      </c>
      <c r="I12" t="s">
        <v>116</v>
      </c>
      <c r="J12">
        <v>1.5599999999999999E-2</v>
      </c>
      <c r="K12">
        <v>10</v>
      </c>
      <c r="L12">
        <f t="shared" si="0"/>
        <v>10</v>
      </c>
      <c r="M12" s="5">
        <f t="shared" si="1"/>
        <v>0.156</v>
      </c>
      <c r="N12" s="3" t="s">
        <v>115</v>
      </c>
    </row>
    <row r="13" spans="2:14" x14ac:dyDescent="0.25">
      <c r="B13" t="s">
        <v>176</v>
      </c>
      <c r="C13" t="s">
        <v>163</v>
      </c>
      <c r="D13" t="s">
        <v>27</v>
      </c>
      <c r="E13">
        <v>1</v>
      </c>
      <c r="F13" t="s">
        <v>75</v>
      </c>
      <c r="H13" s="4" t="s">
        <v>165</v>
      </c>
      <c r="I13" t="s">
        <v>164</v>
      </c>
      <c r="J13">
        <v>1.5599999999999999E-2</v>
      </c>
      <c r="K13">
        <v>10</v>
      </c>
      <c r="L13">
        <f t="shared" si="0"/>
        <v>10</v>
      </c>
      <c r="M13" s="5">
        <f t="shared" si="1"/>
        <v>0.156</v>
      </c>
      <c r="N13" s="3" t="s">
        <v>166</v>
      </c>
    </row>
    <row r="14" spans="2:14" x14ac:dyDescent="0.25">
      <c r="B14" t="s">
        <v>29</v>
      </c>
      <c r="C14" t="s">
        <v>30</v>
      </c>
      <c r="D14" t="s">
        <v>27</v>
      </c>
      <c r="E14">
        <v>1</v>
      </c>
      <c r="F14" t="s">
        <v>75</v>
      </c>
      <c r="H14" s="4" t="s">
        <v>112</v>
      </c>
      <c r="I14" t="s">
        <v>113</v>
      </c>
      <c r="J14">
        <v>1.5599999999999999E-2</v>
      </c>
      <c r="K14">
        <v>10</v>
      </c>
      <c r="L14">
        <f t="shared" si="0"/>
        <v>10</v>
      </c>
      <c r="M14" s="5">
        <f t="shared" si="1"/>
        <v>0.156</v>
      </c>
      <c r="N14" s="3" t="s">
        <v>137</v>
      </c>
    </row>
    <row r="15" spans="2:14" x14ac:dyDescent="0.25">
      <c r="B15" t="s">
        <v>31</v>
      </c>
      <c r="C15" t="s">
        <v>32</v>
      </c>
      <c r="D15" t="s">
        <v>27</v>
      </c>
      <c r="E15">
        <v>2</v>
      </c>
      <c r="F15" t="s">
        <v>75</v>
      </c>
      <c r="H15" t="s">
        <v>108</v>
      </c>
      <c r="I15" t="s">
        <v>107</v>
      </c>
      <c r="J15">
        <v>9.2800000000000001E-3</v>
      </c>
      <c r="K15">
        <v>10</v>
      </c>
      <c r="L15">
        <f t="shared" si="0"/>
        <v>20</v>
      </c>
      <c r="M15" s="5">
        <f t="shared" si="1"/>
        <v>0.18559999999999999</v>
      </c>
      <c r="N15" s="3" t="s">
        <v>138</v>
      </c>
    </row>
    <row r="16" spans="2:14" x14ac:dyDescent="0.25">
      <c r="B16" t="s">
        <v>33</v>
      </c>
      <c r="C16" t="s">
        <v>34</v>
      </c>
      <c r="D16" t="s">
        <v>27</v>
      </c>
      <c r="E16">
        <v>2</v>
      </c>
      <c r="F16" t="s">
        <v>75</v>
      </c>
      <c r="H16" s="4" t="s">
        <v>118</v>
      </c>
      <c r="I16" t="s">
        <v>119</v>
      </c>
      <c r="J16">
        <v>1.5599999999999999E-2</v>
      </c>
      <c r="K16">
        <v>10</v>
      </c>
      <c r="L16">
        <f t="shared" si="0"/>
        <v>20</v>
      </c>
      <c r="M16" s="5">
        <f t="shared" si="1"/>
        <v>0.312</v>
      </c>
      <c r="N16" s="3" t="s">
        <v>117</v>
      </c>
    </row>
    <row r="17" spans="2:14" x14ac:dyDescent="0.25">
      <c r="B17" t="s">
        <v>35</v>
      </c>
      <c r="C17" t="s">
        <v>36</v>
      </c>
      <c r="D17" t="s">
        <v>27</v>
      </c>
      <c r="E17">
        <v>1</v>
      </c>
      <c r="F17" t="s">
        <v>75</v>
      </c>
      <c r="H17" s="4" t="s">
        <v>121</v>
      </c>
      <c r="I17" t="s">
        <v>120</v>
      </c>
      <c r="J17">
        <v>1.5599999999999999E-2</v>
      </c>
      <c r="K17">
        <v>10</v>
      </c>
      <c r="L17">
        <f t="shared" si="0"/>
        <v>10</v>
      </c>
      <c r="M17" s="5">
        <f t="shared" si="1"/>
        <v>0.156</v>
      </c>
      <c r="N17" s="3" t="s">
        <v>122</v>
      </c>
    </row>
    <row r="18" spans="2:14" x14ac:dyDescent="0.25">
      <c r="B18" t="s">
        <v>37</v>
      </c>
      <c r="C18" t="s">
        <v>38</v>
      </c>
      <c r="D18" t="s">
        <v>27</v>
      </c>
      <c r="E18">
        <v>1</v>
      </c>
      <c r="F18" t="s">
        <v>75</v>
      </c>
      <c r="H18" s="4" t="s">
        <v>124</v>
      </c>
      <c r="I18" t="s">
        <v>125</v>
      </c>
      <c r="J18">
        <v>1.5599999999999999E-2</v>
      </c>
      <c r="K18">
        <v>10</v>
      </c>
      <c r="L18">
        <f t="shared" si="0"/>
        <v>10</v>
      </c>
      <c r="M18" s="5">
        <f t="shared" si="1"/>
        <v>0.156</v>
      </c>
      <c r="N18" s="3" t="s">
        <v>123</v>
      </c>
    </row>
    <row r="19" spans="2:14" x14ac:dyDescent="0.25">
      <c r="B19" t="s">
        <v>39</v>
      </c>
      <c r="C19" t="s">
        <v>40</v>
      </c>
      <c r="D19" t="s">
        <v>27</v>
      </c>
      <c r="E19">
        <v>1</v>
      </c>
      <c r="F19" t="s">
        <v>75</v>
      </c>
      <c r="H19" t="s">
        <v>94</v>
      </c>
      <c r="I19" t="s">
        <v>93</v>
      </c>
      <c r="J19">
        <v>9.2800000000000001E-3</v>
      </c>
      <c r="K19">
        <v>10</v>
      </c>
      <c r="L19">
        <f t="shared" si="0"/>
        <v>10</v>
      </c>
      <c r="M19" s="5">
        <f t="shared" si="1"/>
        <v>9.2799999999999994E-2</v>
      </c>
      <c r="N19" s="3" t="s">
        <v>139</v>
      </c>
    </row>
    <row r="20" spans="2:14" x14ac:dyDescent="0.25">
      <c r="B20" t="s">
        <v>55</v>
      </c>
      <c r="C20" t="s">
        <v>56</v>
      </c>
      <c r="D20" t="s">
        <v>54</v>
      </c>
      <c r="E20">
        <v>1</v>
      </c>
      <c r="F20" t="s">
        <v>75</v>
      </c>
      <c r="H20" t="s">
        <v>103</v>
      </c>
      <c r="I20" t="s">
        <v>173</v>
      </c>
      <c r="J20">
        <v>0.14399999999999999</v>
      </c>
      <c r="K20">
        <v>1</v>
      </c>
      <c r="L20">
        <f t="shared" si="0"/>
        <v>10</v>
      </c>
      <c r="M20" s="5">
        <f t="shared" si="1"/>
        <v>1.44</v>
      </c>
      <c r="N20" s="3" t="s">
        <v>140</v>
      </c>
    </row>
    <row r="21" spans="2:14" x14ac:dyDescent="0.25">
      <c r="B21" t="s">
        <v>60</v>
      </c>
      <c r="C21" t="s">
        <v>61</v>
      </c>
      <c r="D21" t="s">
        <v>59</v>
      </c>
      <c r="E21">
        <v>1</v>
      </c>
      <c r="F21" t="s">
        <v>75</v>
      </c>
      <c r="H21" s="4" t="s">
        <v>92</v>
      </c>
      <c r="I21" t="s">
        <v>141</v>
      </c>
      <c r="J21">
        <v>3.22</v>
      </c>
      <c r="K21">
        <v>1</v>
      </c>
      <c r="L21">
        <f t="shared" si="0"/>
        <v>10</v>
      </c>
      <c r="M21" s="5">
        <f t="shared" si="1"/>
        <v>32.200000000000003</v>
      </c>
      <c r="N21" s="3" t="s">
        <v>142</v>
      </c>
    </row>
    <row r="22" spans="2:14" x14ac:dyDescent="0.25">
      <c r="B22" t="s">
        <v>62</v>
      </c>
      <c r="C22" t="s">
        <v>63</v>
      </c>
      <c r="D22" t="s">
        <v>64</v>
      </c>
      <c r="E22">
        <v>1</v>
      </c>
      <c r="F22" t="s">
        <v>75</v>
      </c>
      <c r="H22" t="s">
        <v>91</v>
      </c>
      <c r="I22" t="s">
        <v>144</v>
      </c>
      <c r="J22">
        <v>0.36840000000000001</v>
      </c>
      <c r="K22">
        <v>1</v>
      </c>
      <c r="L22">
        <f t="shared" si="0"/>
        <v>10</v>
      </c>
      <c r="M22" s="5">
        <f t="shared" si="1"/>
        <v>3.6840000000000002</v>
      </c>
      <c r="N22" s="3" t="s">
        <v>143</v>
      </c>
    </row>
    <row r="23" spans="2:14" x14ac:dyDescent="0.25">
      <c r="B23" t="s">
        <v>157</v>
      </c>
      <c r="C23" t="s">
        <v>158</v>
      </c>
      <c r="D23" t="s">
        <v>159</v>
      </c>
      <c r="E23">
        <v>1</v>
      </c>
      <c r="F23" t="s">
        <v>75</v>
      </c>
      <c r="H23" s="4" t="s">
        <v>160</v>
      </c>
      <c r="I23" t="s">
        <v>161</v>
      </c>
      <c r="J23">
        <v>0.1016</v>
      </c>
      <c r="K23">
        <v>1</v>
      </c>
      <c r="L23">
        <f t="shared" ref="L23:L24" si="2">E23*$L$1</f>
        <v>10</v>
      </c>
      <c r="M23" s="5">
        <f t="shared" si="1"/>
        <v>1.016</v>
      </c>
      <c r="N23" s="3" t="s">
        <v>162</v>
      </c>
    </row>
    <row r="24" spans="2:14" x14ac:dyDescent="0.25">
      <c r="B24" t="s">
        <v>167</v>
      </c>
      <c r="C24" t="s">
        <v>168</v>
      </c>
      <c r="D24" t="s">
        <v>159</v>
      </c>
      <c r="E24">
        <v>1</v>
      </c>
      <c r="F24" t="s">
        <v>75</v>
      </c>
      <c r="H24" s="4" t="s">
        <v>169</v>
      </c>
      <c r="I24" t="s">
        <v>170</v>
      </c>
      <c r="J24">
        <v>0.10349999999999999</v>
      </c>
      <c r="K24">
        <v>1</v>
      </c>
      <c r="L24">
        <f t="shared" si="2"/>
        <v>10</v>
      </c>
      <c r="M24" s="5">
        <f t="shared" si="1"/>
        <v>1.0349999999999999</v>
      </c>
      <c r="N24" s="3" t="s">
        <v>171</v>
      </c>
    </row>
    <row r="25" spans="2:14" x14ac:dyDescent="0.25">
      <c r="B25" t="s">
        <v>65</v>
      </c>
      <c r="C25" t="s">
        <v>66</v>
      </c>
      <c r="D25" t="s">
        <v>67</v>
      </c>
      <c r="E25">
        <v>1</v>
      </c>
      <c r="F25" t="s">
        <v>75</v>
      </c>
      <c r="H25">
        <v>3819756</v>
      </c>
      <c r="I25" t="s">
        <v>145</v>
      </c>
      <c r="J25">
        <v>0.6048</v>
      </c>
      <c r="K25">
        <v>1</v>
      </c>
      <c r="L25">
        <f>E25*$L$1</f>
        <v>10</v>
      </c>
      <c r="M25" s="5">
        <f t="shared" si="1"/>
        <v>6.048</v>
      </c>
      <c r="N25" s="3" t="s">
        <v>146</v>
      </c>
    </row>
    <row r="26" spans="2:14" x14ac:dyDescent="0.25">
      <c r="B26" t="s">
        <v>41</v>
      </c>
      <c r="C26" t="s">
        <v>42</v>
      </c>
      <c r="D26" t="s">
        <v>43</v>
      </c>
      <c r="E26">
        <v>1</v>
      </c>
      <c r="F26" t="s">
        <v>95</v>
      </c>
      <c r="G26" t="s">
        <v>96</v>
      </c>
      <c r="H26" t="s">
        <v>102</v>
      </c>
      <c r="I26" t="s">
        <v>101</v>
      </c>
      <c r="J26">
        <v>1.18</v>
      </c>
      <c r="K26">
        <v>1</v>
      </c>
      <c r="L26">
        <f>E26*$L$1</f>
        <v>10</v>
      </c>
      <c r="M26" s="5">
        <f t="shared" si="1"/>
        <v>11.799999999999999</v>
      </c>
      <c r="N26" s="3" t="s">
        <v>151</v>
      </c>
    </row>
    <row r="27" spans="2:14" x14ac:dyDescent="0.25">
      <c r="B27" t="s">
        <v>44</v>
      </c>
      <c r="C27" t="s">
        <v>45</v>
      </c>
      <c r="D27" t="s">
        <v>46</v>
      </c>
      <c r="E27">
        <v>1</v>
      </c>
      <c r="F27" t="s">
        <v>95</v>
      </c>
      <c r="G27" t="s">
        <v>96</v>
      </c>
      <c r="H27" t="s">
        <v>109</v>
      </c>
      <c r="I27" t="s">
        <v>153</v>
      </c>
      <c r="J27">
        <v>0.42</v>
      </c>
      <c r="K27">
        <v>1</v>
      </c>
      <c r="L27">
        <f>E27*$L$1</f>
        <v>10</v>
      </c>
      <c r="M27" s="5">
        <f t="shared" si="1"/>
        <v>4.2</v>
      </c>
      <c r="N27" s="3" t="s">
        <v>110</v>
      </c>
    </row>
    <row r="28" spans="2:14" x14ac:dyDescent="0.25">
      <c r="B28" t="s">
        <v>47</v>
      </c>
      <c r="C28" t="s">
        <v>48</v>
      </c>
      <c r="D28" t="s">
        <v>49</v>
      </c>
      <c r="E28">
        <v>1</v>
      </c>
      <c r="F28" t="s">
        <v>95</v>
      </c>
      <c r="G28" t="s">
        <v>96</v>
      </c>
      <c r="H28" t="s">
        <v>100</v>
      </c>
      <c r="I28" t="s">
        <v>99</v>
      </c>
      <c r="J28">
        <v>0.13</v>
      </c>
      <c r="K28">
        <v>1</v>
      </c>
      <c r="L28">
        <f>E28*$L$1</f>
        <v>10</v>
      </c>
      <c r="M28" s="5">
        <f t="shared" si="1"/>
        <v>1.3</v>
      </c>
      <c r="N28" s="3" t="s">
        <v>150</v>
      </c>
    </row>
    <row r="29" spans="2:14" x14ac:dyDescent="0.25">
      <c r="B29" t="s">
        <v>52</v>
      </c>
      <c r="C29" t="s">
        <v>53</v>
      </c>
      <c r="D29" t="s">
        <v>54</v>
      </c>
      <c r="E29">
        <v>1</v>
      </c>
      <c r="F29" t="s">
        <v>95</v>
      </c>
      <c r="G29" t="s">
        <v>96</v>
      </c>
      <c r="H29" t="s">
        <v>98</v>
      </c>
      <c r="I29" t="s">
        <v>97</v>
      </c>
      <c r="J29">
        <v>0.12</v>
      </c>
      <c r="K29">
        <v>1</v>
      </c>
      <c r="L29">
        <f>E29*$L$1</f>
        <v>10</v>
      </c>
      <c r="M29" s="5">
        <f t="shared" si="1"/>
        <v>1.2</v>
      </c>
      <c r="N29" s="3" t="s">
        <v>149</v>
      </c>
    </row>
    <row r="30" spans="2:14" x14ac:dyDescent="0.25">
      <c r="B30" t="s">
        <v>57</v>
      </c>
      <c r="C30" t="s">
        <v>58</v>
      </c>
      <c r="D30" t="s">
        <v>59</v>
      </c>
      <c r="E30">
        <v>1</v>
      </c>
      <c r="F30" t="s">
        <v>95</v>
      </c>
      <c r="G30" t="s">
        <v>96</v>
      </c>
      <c r="H30" t="s">
        <v>104</v>
      </c>
      <c r="I30" t="s">
        <v>148</v>
      </c>
      <c r="J30">
        <v>7.67</v>
      </c>
      <c r="K30">
        <v>1</v>
      </c>
      <c r="L30">
        <v>10</v>
      </c>
      <c r="M30" s="5">
        <f t="shared" si="1"/>
        <v>76.7</v>
      </c>
      <c r="N30" s="3" t="s">
        <v>147</v>
      </c>
    </row>
    <row r="31" spans="2:14" x14ac:dyDescent="0.25">
      <c r="B31" t="s">
        <v>50</v>
      </c>
      <c r="C31" t="s">
        <v>6</v>
      </c>
      <c r="D31" t="s">
        <v>51</v>
      </c>
      <c r="E31">
        <v>2</v>
      </c>
      <c r="F31" t="s">
        <v>95</v>
      </c>
      <c r="H31" t="s">
        <v>172</v>
      </c>
      <c r="I31" t="s">
        <v>175</v>
      </c>
      <c r="J31">
        <v>2.77</v>
      </c>
      <c r="K31">
        <v>1</v>
      </c>
      <c r="L31">
        <f>E31*$L$1</f>
        <v>20</v>
      </c>
      <c r="M31" s="5">
        <f t="shared" si="1"/>
        <v>55.4</v>
      </c>
      <c r="N31" s="3" t="s">
        <v>174</v>
      </c>
    </row>
    <row r="32" spans="2:14" x14ac:dyDescent="0.25">
      <c r="F32" s="2"/>
      <c r="G32" s="2"/>
      <c r="H32" s="2"/>
      <c r="I32" s="2"/>
      <c r="J32" s="2"/>
      <c r="K32" s="2"/>
      <c r="L32" s="2"/>
      <c r="M32" s="6"/>
    </row>
    <row r="34" spans="2:2" x14ac:dyDescent="0.25">
      <c r="B34" s="1" t="s">
        <v>155</v>
      </c>
    </row>
    <row r="35" spans="2:2" x14ac:dyDescent="0.25">
      <c r="B35" t="s">
        <v>156</v>
      </c>
    </row>
  </sheetData>
  <autoFilter ref="B2:N30" xr:uid="{EEB2D5AF-21A8-4E24-AFE4-45C82B37EC1E}">
    <sortState xmlns:xlrd2="http://schemas.microsoft.com/office/spreadsheetml/2017/richdata2" ref="B3:N30">
      <sortCondition ref="F2:F30"/>
    </sortState>
  </autoFilter>
  <hyperlinks>
    <hyperlink ref="N27" r:id="rId1" xr:uid="{AC2AA1CF-358D-4017-B0DA-9CCE1C25EA58}"/>
    <hyperlink ref="N9" r:id="rId2" xr:uid="{9878B140-6EC9-4E51-81DB-9717812628A1}"/>
    <hyperlink ref="N29" r:id="rId3" xr:uid="{31967711-C10A-4C4B-95A9-1724AB032020}"/>
    <hyperlink ref="N30" r:id="rId4" xr:uid="{690F1942-37D4-4FC5-96DA-18DD610C2513}"/>
    <hyperlink ref="N23" r:id="rId5" xr:uid="{E781DF60-C6B2-4953-9053-202BA2D66C57}"/>
    <hyperlink ref="N3" r:id="rId6" xr:uid="{32AB2B8F-AE33-4127-9A07-899DFB933D06}"/>
    <hyperlink ref="N4" r:id="rId7" xr:uid="{3B18C3A1-A0EC-43FB-9038-38E84B6C1D1C}"/>
    <hyperlink ref="N5" r:id="rId8" xr:uid="{594A18A5-007F-406F-BB8E-7054BCF19A47}"/>
    <hyperlink ref="N6" r:id="rId9" xr:uid="{7CF70249-E026-45D0-95CF-4E64E21DA6DB}"/>
    <hyperlink ref="N7" r:id="rId10" xr:uid="{B5C81062-E24B-4899-8113-E679BC81F6F7}"/>
    <hyperlink ref="N8" r:id="rId11" xr:uid="{5B22DEA9-0106-4683-B67F-1E2ED3361626}"/>
    <hyperlink ref="N10" r:id="rId12" xr:uid="{74C55315-4A21-4DA8-8B0C-1E3040A993FF}"/>
    <hyperlink ref="N11" r:id="rId13" xr:uid="{559738E5-B0DA-4713-9BDB-E8B32B524020}"/>
    <hyperlink ref="N12" r:id="rId14" xr:uid="{9C6FD240-A8B6-4E35-9146-446AF35C7A72}"/>
    <hyperlink ref="N13" r:id="rId15" xr:uid="{93C798FB-33E8-47C9-A661-9418CC464D0A}"/>
    <hyperlink ref="N16" r:id="rId16" xr:uid="{2C90856B-22BF-4DC2-B5EC-C702BC1B3862}"/>
    <hyperlink ref="N14" r:id="rId17" xr:uid="{F7F363B7-B931-458E-9CED-AE4844B6F660}"/>
    <hyperlink ref="N15" r:id="rId18" xr:uid="{8D8F94BB-39C8-435D-9112-16EECD93F5BE}"/>
    <hyperlink ref="N17" r:id="rId19" xr:uid="{238EBCFA-9C79-4261-A9AE-F189D4F6CD8B}"/>
    <hyperlink ref="N18" r:id="rId20" xr:uid="{2D9B25DE-1FA8-4F4B-8624-77144E3D5FB5}"/>
    <hyperlink ref="N19" r:id="rId21" xr:uid="{F080632D-BEAB-4DBA-9A3B-0A7680EFE1AD}"/>
    <hyperlink ref="N26" r:id="rId22" xr:uid="{CACFE6E0-7566-473C-8441-2A398BA5608A}"/>
    <hyperlink ref="N28" r:id="rId23" xr:uid="{FEBDD33F-E03F-404C-8F2E-846115257CDC}"/>
    <hyperlink ref="N31" r:id="rId24" xr:uid="{62AF2A55-F47B-4C37-A19C-268E4CF9C510}"/>
    <hyperlink ref="N20" r:id="rId25" xr:uid="{CF3AA27A-A10E-461A-9C9F-2AC607D4B7D3}"/>
    <hyperlink ref="N21" r:id="rId26" xr:uid="{5ABF3C7A-B4F0-46CA-98DA-B8CE583F5EB4}"/>
    <hyperlink ref="N22" r:id="rId27" xr:uid="{150276D1-8145-4334-B47E-01ACB84EA762}"/>
    <hyperlink ref="N24" r:id="rId28" xr:uid="{D63C764E-BC0F-4274-8B1A-25345D4FDB88}"/>
    <hyperlink ref="N25" r:id="rId29" xr:uid="{684436F2-3707-4F1D-981F-4F82717472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TestBench_bom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</dc:creator>
  <cp:lastModifiedBy>Ridolfi, Luca</cp:lastModifiedBy>
  <dcterms:created xsi:type="dcterms:W3CDTF">2026-01-18T21:09:35Z</dcterms:created>
  <dcterms:modified xsi:type="dcterms:W3CDTF">2026-03-10T15:32:17Z</dcterms:modified>
</cp:coreProperties>
</file>